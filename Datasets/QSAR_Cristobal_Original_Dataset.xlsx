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SAR_Cristob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<sst xmlns="http://schemas.openxmlformats.org/spreadsheetml/2006/main" count="303" uniqueCount="123">
  <si>
    <t xml:space="preserve">NOMBRE</t>
  </si>
  <si>
    <t xml:space="preserve">SMILES</t>
  </si>
  <si>
    <t xml:space="preserve">M_roreri</t>
  </si>
  <si>
    <t xml:space="preserve">L_theobromae</t>
  </si>
  <si>
    <t xml:space="preserve">Phytophthora_sp</t>
  </si>
  <si>
    <t xml:space="preserve">MASA_MOLAR</t>
  </si>
  <si>
    <t xml:space="preserve">Valor_D_M_roreri</t>
  </si>
  <si>
    <t xml:space="preserve">Valor_D_L_theobromae</t>
  </si>
  <si>
    <t xml:space="preserve">Valor_D_Phytophthora_sp</t>
  </si>
  <si>
    <t xml:space="preserve">IC_50_M_roreri</t>
  </si>
  <si>
    <t xml:space="preserve">IC_50_L_theobromae</t>
  </si>
  <si>
    <t xml:space="preserve">IC_50_Phytophthora_sp</t>
  </si>
  <si>
    <t xml:space="preserve">pIC_50_M_roreri</t>
  </si>
  <si>
    <t xml:space="preserve">pIC_50_L_theobromae</t>
  </si>
  <si>
    <t xml:space="preserve">pIC_50_Phytophthora_sp</t>
  </si>
  <si>
    <t xml:space="preserve">D1</t>
  </si>
  <si>
    <t xml:space="preserve">C1C=C(O)C(O)=CC=1C(C)(CC)CCCC(C)CCCC(C)C</t>
  </si>
  <si>
    <t xml:space="preserve">NA</t>
  </si>
  <si>
    <t xml:space="preserve">D2</t>
  </si>
  <si>
    <t xml:space="preserve">C1C=C(OC(=O)C)C(OC(=O)C)=CC=1C(C)(C=C)CC/C=C(\C)/CC/C=C(\C)/C</t>
  </si>
  <si>
    <t xml:space="preserve">D3</t>
  </si>
  <si>
    <t xml:space="preserve">C1C=C(OC)C(OC)=CC=1C(C)(C=C)CC/C=C(\C)/CC/C=C(\C)/C</t>
  </si>
  <si>
    <t xml:space="preserve">D4</t>
  </si>
  <si>
    <t xml:space="preserve">C1C=C(OCCCCC)C(OCCCCC)=CC=1C(C)(C=C)CC/C=C(\C)/CC/C=C(\C)/C</t>
  </si>
  <si>
    <t xml:space="preserve">D5</t>
  </si>
  <si>
    <t xml:space="preserve">C1C=C(O)C(OCCCCC)=CC=1C(C)(C=C)CC/C=C(\C)/CC/C=C(\C)/C</t>
  </si>
  <si>
    <t xml:space="preserve">D6</t>
  </si>
  <si>
    <t xml:space="preserve">C1C=C(O)C(OC/C=C(\C)/C)=CC=1C(C)(C=C)CC/C=C(\C)/CC/C=C(\C)/C</t>
  </si>
  <si>
    <t xml:space="preserve">D7</t>
  </si>
  <si>
    <t xml:space="preserve">C1C=C(OC/C=C(\C)/C)C(O)=CC=1C(C)(C=C)CC/C=C(\C)/CC/C=C(\C)/C</t>
  </si>
  <si>
    <t xml:space="preserve">D8</t>
  </si>
  <si>
    <t xml:space="preserve">C1C=C2OCOC2=CC=1C(C)(C=C)CC/C=C(\C)/CC/C=C(\C)/C</t>
  </si>
  <si>
    <t xml:space="preserve">D9</t>
  </si>
  <si>
    <t xml:space="preserve">C1C=C(OCC=C)C(OCC=C)=CC=1C(C)(C=C)CC/C=C(\C)/CC/C=C(\C)/C</t>
  </si>
  <si>
    <t xml:space="preserve">D10</t>
  </si>
  <si>
    <t xml:space="preserve">C1C=C(OC(=O)C2C=CC=CC=2)C(OC(=O)C2C=CC=CC=2)=CC=1C(C)(C=C)CC/C=C(\C)/CC/C=C(\C)/C</t>
  </si>
  <si>
    <t xml:space="preserve">A-1</t>
  </si>
  <si>
    <t xml:space="preserve">C1C=CC=C(C(=O)OCCCC)C=1</t>
  </si>
  <si>
    <t xml:space="preserve">A-2</t>
  </si>
  <si>
    <t xml:space="preserve">C1C=CC=C(C(=O)OC/C=C(\C)/C)C=1</t>
  </si>
  <si>
    <t xml:space="preserve">A-3</t>
  </si>
  <si>
    <t xml:space="preserve">C1C=CC=C(C(=O)OC/C=C(\C)/CC/C=C(\C)/C)C=1</t>
  </si>
  <si>
    <t xml:space="preserve">A-4</t>
  </si>
  <si>
    <t xml:space="preserve">C1C=CC=C(C(=O)OC/C=C(\C)/CC/C=C(\C)/CC/C=C(\C)/C)C=1</t>
  </si>
  <si>
    <t xml:space="preserve">A-5</t>
  </si>
  <si>
    <t xml:space="preserve">C1=C(C(=CC=C1)C(=O)OCCCC)O</t>
  </si>
  <si>
    <t xml:space="preserve">A-6</t>
  </si>
  <si>
    <t xml:space="preserve">C1=C(C(=CC=C1)C(=O)OCC=C(C)C)O</t>
  </si>
  <si>
    <t xml:space="preserve">A-7</t>
  </si>
  <si>
    <t xml:space="preserve">C1=CC(=C(C=C1)O)C(=O)OCC=C(CCC=C(C)C)C</t>
  </si>
  <si>
    <t xml:space="preserve">A-8</t>
  </si>
  <si>
    <t xml:space="preserve">C1=CC(=C(C=C1)O)C(=O)OCC=C(CCC=C(CCC=C(C)C)C)C</t>
  </si>
  <si>
    <t xml:space="preserve">A-9</t>
  </si>
  <si>
    <t xml:space="preserve">C1C=C(O)C=C(C(=O)OCCCC)C=1</t>
  </si>
  <si>
    <t xml:space="preserve">A-10</t>
  </si>
  <si>
    <t xml:space="preserve">C1C(O)=CC=C(C(=O)OCCCC)C=1</t>
  </si>
  <si>
    <t xml:space="preserve">A-11</t>
  </si>
  <si>
    <t xml:space="preserve">C1C(O)=CC=C(C(=O)OC/C=C(\C)/C)C=1</t>
  </si>
  <si>
    <t xml:space="preserve">A-12</t>
  </si>
  <si>
    <t xml:space="preserve">C1C(O)=CC=C(C(=O)OC/C=C(\C)/CC/C=C(\C)/C)C=1</t>
  </si>
  <si>
    <t xml:space="preserve">A-13</t>
  </si>
  <si>
    <t xml:space="preserve">C1C(O)=CC=C(C(=O)OC/C=C(\C)/CC/C=C(\C)/CC/C=C(\C)/C)C=1</t>
  </si>
  <si>
    <t xml:space="preserve">A-14</t>
  </si>
  <si>
    <t xml:space="preserve">C1C=C(O)C(O)=C(C(=O)OCCCC)C=1</t>
  </si>
  <si>
    <t xml:space="preserve">A-15</t>
  </si>
  <si>
    <t xml:space="preserve">C1C=C(O)C(O)=C(C(=O)OC/C=C(\C)/C)C=1</t>
  </si>
  <si>
    <t xml:space="preserve">A-16</t>
  </si>
  <si>
    <t xml:space="preserve">C1C=C(O)C(O)=C(C(=O)OC/C=C(\C)/CC/C=C(\C)/C)C=1</t>
  </si>
  <si>
    <t xml:space="preserve">A-17</t>
  </si>
  <si>
    <t xml:space="preserve">C1C=C(O)C(O)=C(C(=O)OC/C=C(\C)/CC/C=C(\C)/CC/C=C(\C)/C)C=1</t>
  </si>
  <si>
    <t xml:space="preserve">A-18</t>
  </si>
  <si>
    <t xml:space="preserve">C1C=CC(O)=C(C(=O)OCCCC)C=1O</t>
  </si>
  <si>
    <t xml:space="preserve">A-19</t>
  </si>
  <si>
    <t xml:space="preserve">C1C(O)=C(O)C=C(C(=O)OCCCC)C=1</t>
  </si>
  <si>
    <t xml:space="preserve">A-20</t>
  </si>
  <si>
    <t xml:space="preserve">C1C(O)=C(O)C=C(C(=O)OC/C=C(\C)/C)C=1</t>
  </si>
  <si>
    <t xml:space="preserve">A-21</t>
  </si>
  <si>
    <t xml:space="preserve">C1C(O)=C(O)C=C(C(=O)OC/C=C(\C)/CC/C=C(\C)/C)C=1</t>
  </si>
  <si>
    <t xml:space="preserve">A-22</t>
  </si>
  <si>
    <t xml:space="preserve">C1C(O)=C(O)C=C(C(=O)OC/C=C(\C)/CC/C=C(\C)/CC/C=C(\C)/C)C=1</t>
  </si>
  <si>
    <t xml:space="preserve">A-23</t>
  </si>
  <si>
    <t xml:space="preserve">C1C(O)=CC(O)=C(C(=O)OCCCC)C=1</t>
  </si>
  <si>
    <t xml:space="preserve">A-24</t>
  </si>
  <si>
    <t xml:space="preserve">C1C(O)=CC(O)=C(C(=O)OC/C=C(\C)/C)C=1</t>
  </si>
  <si>
    <t xml:space="preserve">A-25</t>
  </si>
  <si>
    <t xml:space="preserve">C1C(O)=CC(O)=C(C(=O)OC/C=C(\C)/CC/C=C(\C)/C)C=1</t>
  </si>
  <si>
    <t xml:space="preserve">A-26</t>
  </si>
  <si>
    <t xml:space="preserve">C1C(O)=CC(O)=C(C(=O)OC/C=C(\C)/CC/C=C(\C)/CC/C=C(\C)/C)C=1</t>
  </si>
  <si>
    <t xml:space="preserve">A-27</t>
  </si>
  <si>
    <t xml:space="preserve">C1(O)C=CC(O)=C(C(=O)OCCCC)C=1</t>
  </si>
  <si>
    <t xml:space="preserve">A-28</t>
  </si>
  <si>
    <t xml:space="preserve">C1(O)C=CC(O)=C(C(=O)OC/C=C(\C)/C)C=1</t>
  </si>
  <si>
    <t xml:space="preserve">A-29</t>
  </si>
  <si>
    <t xml:space="preserve">C1(O)C=CC(O)=C(C(=O)OC/C=C(\C)/CC/C=C(\C)/C)C=1</t>
  </si>
  <si>
    <t xml:space="preserve">A-30</t>
  </si>
  <si>
    <t xml:space="preserve">C1(O)C=CC(O)=C(C(=O)OC/C=C(\C)/CC/C=C(\C)/CC/C=C(\C)/C)C=1</t>
  </si>
  <si>
    <t xml:space="preserve">A-31</t>
  </si>
  <si>
    <t xml:space="preserve">C1C(O)=C(O)C(O)=C(C(=O)OCCCC)C=1</t>
  </si>
  <si>
    <t xml:space="preserve">A-32</t>
  </si>
  <si>
    <t xml:space="preserve">C1C(O)=C(O)C(O)=C(C(=O)OC/C=C(\C)/C)C=1</t>
  </si>
  <si>
    <t xml:space="preserve">A-33</t>
  </si>
  <si>
    <t xml:space="preserve">C1C(O)=C(O)C(O)=C(C(=O)OC/C=C(\C)/CC/C=C(\C)/C)C=1</t>
  </si>
  <si>
    <t xml:space="preserve">A-34</t>
  </si>
  <si>
    <t xml:space="preserve">C1C(O)=C(O)C(O)=C(C(=O)OC/C=C(\C)/CC/C=C(\C)/CC/C=C(\C)/C)C=1</t>
  </si>
  <si>
    <t xml:space="preserve">A-35</t>
  </si>
  <si>
    <t xml:space="preserve">C12OCOC1=CC=C(C(=O)OCCCC)C=2</t>
  </si>
  <si>
    <t xml:space="preserve">A-36</t>
  </si>
  <si>
    <t xml:space="preserve">C12OCOC1=CC=C(C(=O)OC/C=C(\C)/C)C=2</t>
  </si>
  <si>
    <t xml:space="preserve">A-37</t>
  </si>
  <si>
    <t xml:space="preserve">C12OCOC1=CC=C(C(=O)OC/C=C(\C)/CC/C=C(\C)/C)C=2</t>
  </si>
  <si>
    <t xml:space="preserve">A-38</t>
  </si>
  <si>
    <t xml:space="preserve">C1C=C(OC)C=C(C(=O)OCCCC)C=1</t>
  </si>
  <si>
    <t xml:space="preserve">A-39</t>
  </si>
  <si>
    <t xml:space="preserve">C1C(OC)=CC=C(C(=O)OCCCC)C=1</t>
  </si>
  <si>
    <t xml:space="preserve">A-40</t>
  </si>
  <si>
    <t xml:space="preserve">C1C(O)=C(OC)C=C(C(=O)OCCCC)C=1</t>
  </si>
  <si>
    <t xml:space="preserve">A-41</t>
  </si>
  <si>
    <t xml:space="preserve">C1C(O)=C(OC)C=C(C(=O)OC/C=C(\C)/C)C=1</t>
  </si>
  <si>
    <t xml:space="preserve">A-42</t>
  </si>
  <si>
    <t xml:space="preserve">A-43</t>
  </si>
  <si>
    <t xml:space="preserve">C1C(O)=C(OC)C=C(C(=O)OC/C=C(\C)/CC/C=C(\C)/C)C=1</t>
  </si>
  <si>
    <t xml:space="preserve">A-44</t>
  </si>
  <si>
    <t xml:space="preserve">C1C(O)=C(OC)C=C(C(=O)OC/C=C(\C)/CC/C=C(\C)/CC/C=C(\C)/C)C=1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</si>
</sst>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"/>
      <family val="1"/>
    </font>
    <font>
      <u val="single"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6"/>
  <sheetViews>
    <sheetView showFormulas="false" showGridLines="true" showRowColHeaders="true" showZeros="true" rightToLeft="false" tabSelected="true" showOutlineSymbols="true" defaultGridColor="true" view="normal" topLeftCell="F1" colorId="64" zoomScale="80" zoomScaleNormal="80" zoomScalePageLayoutView="100" workbookViewId="0">
      <selection pane="topLeft" activeCell="L17" activeCellId="0" sqref="L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51"/>
    <col collapsed="false" customWidth="true" hidden="false" outlineLevel="0" max="2" min="2" style="0" width="84.63"/>
    <col collapsed="false" customWidth="true" hidden="false" outlineLevel="0" max="3" min="3" style="0" width="8.11"/>
    <col collapsed="false" customWidth="true" hidden="false" outlineLevel="0" max="4" min="4" style="0" width="12.98"/>
    <col collapsed="false" customWidth="true" hidden="false" outlineLevel="0" max="5" min="5" style="0" width="15.2"/>
    <col collapsed="false" customWidth="true" hidden="false" outlineLevel="0" max="6" min="6" style="0" width="14.23"/>
    <col collapsed="false" customWidth="true" hidden="false" outlineLevel="0" max="7" min="7" style="0" width="15.49"/>
    <col collapsed="false" customWidth="true" hidden="false" outlineLevel="0" max="8" min="8" style="0" width="20.35"/>
    <col collapsed="false" customWidth="true" hidden="false" outlineLevel="0" max="9" min="9" style="0" width="22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0" t="s">
        <v>16</v>
      </c>
      <c r="C2" s="0" t="n">
        <v>20.4</v>
      </c>
      <c r="D2" s="0" t="n">
        <v>30.9</v>
      </c>
      <c r="E2" s="0" t="n">
        <v>27.5</v>
      </c>
      <c r="F2" s="0" t="n">
        <v>320.517</v>
      </c>
      <c r="G2" s="0" t="n">
        <v>1.91456816883291</v>
      </c>
      <c r="H2" s="0" t="n">
        <v>2.15633150119531</v>
      </c>
      <c r="I2" s="0" t="n">
        <v>2.08484575640395</v>
      </c>
      <c r="J2" s="0" t="s">
        <v>17</v>
      </c>
      <c r="K2" s="0" t="s">
        <v>17</v>
      </c>
      <c r="L2" s="0" t="s">
        <v>17</v>
      </c>
      <c r="M2" s="0" t="s">
        <v>17</v>
      </c>
      <c r="N2" s="0" t="s">
        <v>17</v>
      </c>
      <c r="O2" s="0" t="s">
        <v>17</v>
      </c>
    </row>
    <row r="3" customFormat="false" ht="12.8" hidden="false" customHeight="false" outlineLevel="0" collapsed="false">
      <c r="A3" s="0" t="s">
        <v>18</v>
      </c>
      <c r="B3" s="0" t="s">
        <v>19</v>
      </c>
      <c r="C3" s="0" t="n">
        <v>27.8</v>
      </c>
      <c r="D3" s="0" t="n">
        <v>51.5</v>
      </c>
      <c r="E3" s="0" t="n">
        <v>3.6</v>
      </c>
      <c r="F3" s="0" t="n">
        <v>398.543</v>
      </c>
      <c r="G3" s="0" t="n">
        <v>2.18598278394319</v>
      </c>
      <c r="H3" s="0" t="n">
        <v>2.62654067603368</v>
      </c>
      <c r="I3" s="0" t="n">
        <v>1.17270065245921</v>
      </c>
      <c r="J3" s="0" t="s">
        <v>17</v>
      </c>
      <c r="K3" s="0" t="s">
        <v>17</v>
      </c>
      <c r="L3" s="0" t="s">
        <v>17</v>
      </c>
      <c r="M3" s="0" t="s">
        <v>17</v>
      </c>
      <c r="N3" s="0" t="s">
        <v>17</v>
      </c>
      <c r="O3" s="0" t="s">
        <v>17</v>
      </c>
    </row>
    <row r="4" customFormat="false" ht="12.8" hidden="false" customHeight="false" outlineLevel="0" collapsed="false">
      <c r="A4" s="0" t="s">
        <v>20</v>
      </c>
      <c r="B4" s="0" t="s">
        <v>21</v>
      </c>
      <c r="C4" s="0" t="n">
        <v>42.8</v>
      </c>
      <c r="D4" s="0" t="n">
        <v>52.5</v>
      </c>
      <c r="E4" s="0" t="n">
        <v>4.1</v>
      </c>
      <c r="F4" s="0" t="n">
        <v>342.523</v>
      </c>
      <c r="G4" s="0" t="n">
        <v>2.40873747937037</v>
      </c>
      <c r="H4" s="0" t="n">
        <v>2.57815543293131</v>
      </c>
      <c r="I4" s="0" t="n">
        <v>1.1656549886993</v>
      </c>
      <c r="J4" s="0" t="s">
        <v>17</v>
      </c>
      <c r="K4" s="0" t="s">
        <v>17</v>
      </c>
      <c r="L4" s="0" t="s">
        <v>17</v>
      </c>
      <c r="M4" s="0" t="s">
        <v>17</v>
      </c>
      <c r="N4" s="0" t="s">
        <v>17</v>
      </c>
      <c r="O4" s="0" t="s">
        <v>17</v>
      </c>
    </row>
    <row r="5" customFormat="false" ht="12.8" hidden="false" customHeight="false" outlineLevel="0" collapsed="false">
      <c r="A5" s="0" t="s">
        <v>22</v>
      </c>
      <c r="B5" s="0" t="s">
        <v>23</v>
      </c>
      <c r="C5" s="0" t="n">
        <v>27.7</v>
      </c>
      <c r="D5" s="0" t="n">
        <v>54.9</v>
      </c>
      <c r="E5" s="0" t="n">
        <v>42.1</v>
      </c>
      <c r="F5" s="0" t="n">
        <v>454.739</v>
      </c>
      <c r="G5" s="0" t="n">
        <v>2.24110367417926</v>
      </c>
      <c r="H5" s="0" t="n">
        <v>2.74315800498147</v>
      </c>
      <c r="I5" s="0" t="n">
        <v>2.51936573451757</v>
      </c>
      <c r="J5" s="0" t="s">
        <v>17</v>
      </c>
      <c r="K5" s="0" t="s">
        <v>17</v>
      </c>
      <c r="L5" s="0" t="s">
        <v>17</v>
      </c>
      <c r="M5" s="0" t="s">
        <v>17</v>
      </c>
      <c r="N5" s="0" t="s">
        <v>17</v>
      </c>
      <c r="O5" s="0" t="s">
        <v>17</v>
      </c>
    </row>
    <row r="6" customFormat="false" ht="12.8" hidden="false" customHeight="false" outlineLevel="0" collapsed="false">
      <c r="A6" s="0" t="s">
        <v>24</v>
      </c>
      <c r="B6" s="0" t="s">
        <v>25</v>
      </c>
      <c r="C6" s="0" t="n">
        <v>31.9</v>
      </c>
      <c r="D6" s="0" t="n">
        <v>39.3</v>
      </c>
      <c r="E6" s="0" t="n">
        <v>51</v>
      </c>
      <c r="F6" s="0" t="n">
        <v>384.604</v>
      </c>
      <c r="G6" s="0" t="n">
        <v>2.25565736786665</v>
      </c>
      <c r="H6" s="0" t="n">
        <v>2.39621765602243</v>
      </c>
      <c r="I6" s="0" t="n">
        <v>2.60238789279168</v>
      </c>
      <c r="J6" s="0" t="s">
        <v>17</v>
      </c>
      <c r="K6" s="0" t="s">
        <v>17</v>
      </c>
      <c r="L6" s="0" t="s">
        <v>17</v>
      </c>
      <c r="M6" s="0" t="s">
        <v>17</v>
      </c>
      <c r="N6" s="0" t="s">
        <v>17</v>
      </c>
      <c r="O6" s="0" t="s">
        <v>17</v>
      </c>
    </row>
    <row r="7" customFormat="false" ht="12.8" hidden="false" customHeight="false" outlineLevel="0" collapsed="false">
      <c r="A7" s="0" t="s">
        <v>26</v>
      </c>
      <c r="B7" s="0" t="s">
        <v>27</v>
      </c>
      <c r="C7" s="0" t="n">
        <v>38.8</v>
      </c>
      <c r="D7" s="0" t="n">
        <v>50.7</v>
      </c>
      <c r="E7" s="0" t="n">
        <v>54.5</v>
      </c>
      <c r="F7" s="0" t="n">
        <v>382.588</v>
      </c>
      <c r="G7" s="0" t="n">
        <v>2.38481164756252</v>
      </c>
      <c r="H7" s="0" t="n">
        <v>2.59489238416998</v>
      </c>
      <c r="I7" s="0" t="n">
        <v>2.66111644973341</v>
      </c>
      <c r="J7" s="0" t="s">
        <v>17</v>
      </c>
      <c r="K7" s="0" t="s">
        <v>17</v>
      </c>
      <c r="L7" s="0" t="s">
        <v>17</v>
      </c>
      <c r="M7" s="0" t="s">
        <v>17</v>
      </c>
      <c r="N7" s="0" t="s">
        <v>17</v>
      </c>
      <c r="O7" s="0" t="s">
        <v>17</v>
      </c>
    </row>
    <row r="8" customFormat="false" ht="12.8" hidden="false" customHeight="false" outlineLevel="0" collapsed="false">
      <c r="A8" s="0" t="s">
        <v>28</v>
      </c>
      <c r="B8" s="0" t="s">
        <v>29</v>
      </c>
      <c r="C8" s="0" t="n">
        <v>39.9</v>
      </c>
      <c r="D8" s="0" t="n">
        <v>38.6</v>
      </c>
      <c r="E8" s="0" t="n">
        <v>31.3</v>
      </c>
      <c r="F8" s="0" t="n">
        <v>382.588</v>
      </c>
      <c r="G8" s="0" t="n">
        <v>2.40482976779789</v>
      </c>
      <c r="H8" s="0" t="n">
        <v>2.38115027764447</v>
      </c>
      <c r="I8" s="0" t="n">
        <v>2.24131894460078</v>
      </c>
      <c r="J8" s="0" t="s">
        <v>17</v>
      </c>
      <c r="K8" s="0" t="s">
        <v>17</v>
      </c>
      <c r="L8" s="0" t="s">
        <v>17</v>
      </c>
      <c r="M8" s="0" t="s">
        <v>17</v>
      </c>
      <c r="N8" s="0" t="s">
        <v>17</v>
      </c>
      <c r="O8" s="0" t="s">
        <v>17</v>
      </c>
    </row>
    <row r="9" customFormat="false" ht="12.8" hidden="false" customHeight="false" outlineLevel="0" collapsed="false">
      <c r="A9" s="0" t="s">
        <v>30</v>
      </c>
      <c r="B9" s="0" t="s">
        <v>31</v>
      </c>
      <c r="C9" s="0" t="n">
        <v>31.1</v>
      </c>
      <c r="D9" s="0" t="n">
        <v>44</v>
      </c>
      <c r="E9" s="0" t="n">
        <v>33.1</v>
      </c>
      <c r="F9" s="0" t="n">
        <v>326.48</v>
      </c>
      <c r="G9" s="0" t="n">
        <v>2.16839774888443</v>
      </c>
      <c r="H9" s="0" t="n">
        <v>2.4091212312452</v>
      </c>
      <c r="I9" s="0" t="n">
        <v>2.20825845777311</v>
      </c>
      <c r="J9" s="0" t="s">
        <v>17</v>
      </c>
      <c r="K9" s="0" t="s">
        <v>17</v>
      </c>
      <c r="L9" s="0" t="s">
        <v>17</v>
      </c>
      <c r="M9" s="0" t="s">
        <v>17</v>
      </c>
      <c r="N9" s="0" t="s">
        <v>17</v>
      </c>
      <c r="O9" s="0" t="s">
        <v>17</v>
      </c>
    </row>
    <row r="10" customFormat="false" ht="12.8" hidden="false" customHeight="false" outlineLevel="0" collapsed="false">
      <c r="A10" s="0" t="s">
        <v>32</v>
      </c>
      <c r="B10" s="0" t="s">
        <v>33</v>
      </c>
      <c r="C10" s="0" t="n">
        <v>28.6</v>
      </c>
      <c r="D10" s="0" t="n">
        <v>45.7</v>
      </c>
      <c r="E10" s="0" t="n">
        <v>14.7</v>
      </c>
      <c r="F10" s="0" t="n">
        <v>394.599</v>
      </c>
      <c r="G10" s="0" t="n">
        <v>2.19882380167342</v>
      </c>
      <c r="H10" s="0" t="n">
        <v>2.52127235080155</v>
      </c>
      <c r="I10" s="0" t="n">
        <v>1.8325242839012</v>
      </c>
      <c r="J10" s="0" t="s">
        <v>17</v>
      </c>
      <c r="K10" s="0" t="s">
        <v>17</v>
      </c>
      <c r="L10" s="0" t="s">
        <v>17</v>
      </c>
      <c r="M10" s="0" t="s">
        <v>17</v>
      </c>
      <c r="N10" s="0" t="s">
        <v>17</v>
      </c>
      <c r="O10" s="0" t="s">
        <v>17</v>
      </c>
    </row>
    <row r="11" customFormat="false" ht="12.8" hidden="false" customHeight="false" outlineLevel="0" collapsed="false">
      <c r="A11" s="0" t="s">
        <v>34</v>
      </c>
      <c r="B11" s="0" t="s">
        <v>35</v>
      </c>
      <c r="C11" s="0" t="n">
        <v>37.5</v>
      </c>
      <c r="D11" s="0" t="n">
        <v>50.8</v>
      </c>
      <c r="E11" s="0" t="n">
        <v>31.3</v>
      </c>
      <c r="F11" s="0" t="n">
        <v>522.685</v>
      </c>
      <c r="G11" s="0" t="n">
        <v>2.49639128728893</v>
      </c>
      <c r="H11" s="0" t="n">
        <v>2.73213864642184</v>
      </c>
      <c r="I11" s="0" t="n">
        <v>2.37682763739218</v>
      </c>
      <c r="J11" s="0" t="s">
        <v>17</v>
      </c>
      <c r="K11" s="0" t="s">
        <v>17</v>
      </c>
      <c r="L11" s="0" t="s">
        <v>17</v>
      </c>
      <c r="M11" s="0" t="s">
        <v>17</v>
      </c>
      <c r="N11" s="0" t="s">
        <v>17</v>
      </c>
      <c r="O11" s="0" t="s">
        <v>17</v>
      </c>
    </row>
    <row r="12" customFormat="false" ht="13.8" hidden="false" customHeight="false" outlineLevel="0" collapsed="false">
      <c r="A12" s="0" t="s">
        <v>36</v>
      </c>
      <c r="B12" s="0" t="s">
        <v>37</v>
      </c>
      <c r="C12" s="0" t="n">
        <v>28.8</v>
      </c>
      <c r="D12" s="0" t="n">
        <v>9.9</v>
      </c>
      <c r="E12" s="0" t="n">
        <v>93.5</v>
      </c>
      <c r="F12" s="0" t="n">
        <v>178.231</v>
      </c>
      <c r="G12" s="0" t="n">
        <v>1.85789573791997</v>
      </c>
      <c r="H12" s="0" t="n">
        <v>1.29189364741609</v>
      </c>
      <c r="I12" s="0" t="n">
        <v>3.40888149802726</v>
      </c>
      <c r="J12" s="0" t="s">
        <v>17</v>
      </c>
      <c r="K12" s="0" t="s">
        <v>17</v>
      </c>
      <c r="L12" s="1" t="n">
        <v>296.7</v>
      </c>
      <c r="M12" s="0" t="s">
        <v>17</v>
      </c>
      <c r="N12" s="0" t="s">
        <v>17</v>
      </c>
      <c r="O12" s="0" t="n">
        <f aca="false">-LOG(L12*0.000001)</f>
        <v>3.52768245368316</v>
      </c>
    </row>
    <row r="13" customFormat="false" ht="13.8" hidden="false" customHeight="false" outlineLevel="0" collapsed="false">
      <c r="A13" s="0" t="s">
        <v>38</v>
      </c>
      <c r="B13" s="0" t="s">
        <v>39</v>
      </c>
      <c r="C13" s="0" t="n">
        <v>26.7</v>
      </c>
      <c r="D13" s="0" t="n">
        <v>14.2</v>
      </c>
      <c r="E13" s="0" t="n">
        <v>94.4</v>
      </c>
      <c r="F13" s="0" t="n">
        <v>190.242</v>
      </c>
      <c r="G13" s="0" t="n">
        <v>1.84071368972766</v>
      </c>
      <c r="H13" s="0" t="n">
        <v>1.49810745953856</v>
      </c>
      <c r="I13" s="0" t="n">
        <v>3.50609037029608</v>
      </c>
      <c r="J13" s="0" t="s">
        <v>17</v>
      </c>
      <c r="K13" s="0" t="s">
        <v>17</v>
      </c>
      <c r="L13" s="1" t="n">
        <v>413.5</v>
      </c>
      <c r="M13" s="0" t="s">
        <v>17</v>
      </c>
      <c r="N13" s="0" t="s">
        <v>17</v>
      </c>
      <c r="O13" s="0" t="n">
        <f aca="false">-LOG(L13*0.000001)</f>
        <v>3.38352448611143</v>
      </c>
    </row>
    <row r="14" customFormat="false" ht="12.8" hidden="false" customHeight="false" outlineLevel="0" collapsed="false">
      <c r="A14" s="0" t="s">
        <v>40</v>
      </c>
      <c r="B14" s="0" t="s">
        <v>41</v>
      </c>
      <c r="C14" s="0" t="n">
        <v>29.4</v>
      </c>
      <c r="D14" s="0" t="n">
        <v>4.2</v>
      </c>
      <c r="E14" s="0" t="n">
        <v>4.4</v>
      </c>
      <c r="F14" s="0" t="n">
        <v>258.361</v>
      </c>
      <c r="G14" s="0" t="n">
        <v>2.03176958619462</v>
      </c>
      <c r="H14" s="0" t="n">
        <v>1.05411073815363</v>
      </c>
      <c r="I14" s="0" t="n">
        <v>1.07522174104436</v>
      </c>
      <c r="J14" s="0" t="s">
        <v>17</v>
      </c>
      <c r="K14" s="0" t="s">
        <v>17</v>
      </c>
      <c r="L14" s="0" t="s">
        <v>17</v>
      </c>
      <c r="M14" s="0" t="s">
        <v>17</v>
      </c>
      <c r="N14" s="0" t="s">
        <v>17</v>
      </c>
      <c r="O14" s="0" t="s">
        <v>17</v>
      </c>
    </row>
    <row r="15" customFormat="false" ht="12.8" hidden="false" customHeight="false" outlineLevel="0" collapsed="false">
      <c r="A15" s="0" t="s">
        <v>42</v>
      </c>
      <c r="B15" s="0" t="s">
        <v>43</v>
      </c>
      <c r="C15" s="0" t="n">
        <v>19.3</v>
      </c>
      <c r="D15" s="0" t="n">
        <v>3</v>
      </c>
      <c r="E15" s="0" t="n">
        <v>8.4</v>
      </c>
      <c r="F15" s="0" t="n">
        <v>326.48</v>
      </c>
      <c r="G15" s="0" t="n">
        <v>1.89254035605092</v>
      </c>
      <c r="H15" s="0" t="n">
        <v>1.00420610221863</v>
      </c>
      <c r="I15" s="0" t="n">
        <v>1.47624039415925</v>
      </c>
      <c r="J15" s="0" t="s">
        <v>17</v>
      </c>
      <c r="K15" s="0" t="s">
        <v>17</v>
      </c>
      <c r="L15" s="0" t="s">
        <v>17</v>
      </c>
      <c r="M15" s="0" t="s">
        <v>17</v>
      </c>
      <c r="N15" s="0" t="s">
        <v>17</v>
      </c>
      <c r="O15" s="0" t="s">
        <v>17</v>
      </c>
    </row>
    <row r="16" customFormat="false" ht="13.8" hidden="false" customHeight="false" outlineLevel="0" collapsed="false">
      <c r="A16" s="0" t="s">
        <v>44</v>
      </c>
      <c r="B16" s="0" t="s">
        <v>45</v>
      </c>
      <c r="C16" s="0" t="n">
        <v>36.6</v>
      </c>
      <c r="D16" s="0" t="n">
        <v>77.6</v>
      </c>
      <c r="E16" s="0" t="n">
        <v>84.9</v>
      </c>
      <c r="F16" s="0" t="n">
        <v>194.23</v>
      </c>
      <c r="G16" s="0" t="n">
        <v>2.04970813767897</v>
      </c>
      <c r="H16" s="0" t="n">
        <v>2.82793001309032</v>
      </c>
      <c r="I16" s="0" t="n">
        <v>3.03824705311708</v>
      </c>
      <c r="J16" s="0" t="s">
        <v>17</v>
      </c>
      <c r="K16" s="1" t="n">
        <v>518.6</v>
      </c>
      <c r="L16" s="1" t="n">
        <v>347.7</v>
      </c>
      <c r="M16" s="0" t="s">
        <v>17</v>
      </c>
      <c r="N16" s="0" t="n">
        <f aca="false">-LOG(K16*0.000001)</f>
        <v>3.28516748756667</v>
      </c>
      <c r="O16" s="0" t="n">
        <f aca="false">-LOG(L16*0.000001)</f>
        <v>3.45879530931674</v>
      </c>
    </row>
    <row r="17" customFormat="false" ht="12.8" hidden="false" customHeight="false" outlineLevel="0" collapsed="false">
      <c r="A17" s="0" t="s">
        <v>46</v>
      </c>
      <c r="B17" s="0" t="s">
        <v>47</v>
      </c>
      <c r="C17" s="0" t="n">
        <v>23.3</v>
      </c>
      <c r="D17" s="0" t="n">
        <v>20</v>
      </c>
      <c r="E17" s="0" t="n">
        <v>46.6</v>
      </c>
      <c r="F17" s="0" t="n">
        <v>206.241</v>
      </c>
      <c r="G17" s="0" t="n">
        <v>1.79693556285357</v>
      </c>
      <c r="H17" s="0" t="n">
        <v>1.71231501444857</v>
      </c>
      <c r="I17" s="0" t="n">
        <v>2.25521966543798</v>
      </c>
      <c r="J17" s="0" t="s">
        <v>17</v>
      </c>
      <c r="K17" s="0" t="s">
        <v>17</v>
      </c>
      <c r="L17" s="0" t="s">
        <v>17</v>
      </c>
      <c r="M17" s="0" t="s">
        <v>17</v>
      </c>
      <c r="N17" s="0" t="s">
        <v>17</v>
      </c>
      <c r="O17" s="0" t="s">
        <v>17</v>
      </c>
    </row>
    <row r="18" customFormat="false" ht="13.8" hidden="false" customHeight="false" outlineLevel="0" collapsed="false">
      <c r="A18" s="0" t="s">
        <v>48</v>
      </c>
      <c r="B18" s="0" t="s">
        <v>49</v>
      </c>
      <c r="C18" s="0" t="n">
        <v>29.3</v>
      </c>
      <c r="D18" s="0" t="n">
        <v>76.8</v>
      </c>
      <c r="E18" s="0" t="n">
        <v>70.3</v>
      </c>
      <c r="F18" s="0" t="n">
        <v>274.36</v>
      </c>
      <c r="G18" s="0" t="n">
        <v>2.05576900074366</v>
      </c>
      <c r="H18" s="0" t="n">
        <v>2.95819402932706</v>
      </c>
      <c r="I18" s="0" t="n">
        <v>2.81251966988906</v>
      </c>
      <c r="J18" s="0" t="s">
        <v>17</v>
      </c>
      <c r="K18" s="1" t="n">
        <v>331.7</v>
      </c>
      <c r="L18" s="1" t="n">
        <v>348.1</v>
      </c>
      <c r="M18" s="0" t="s">
        <v>17</v>
      </c>
      <c r="N18" s="0" t="n">
        <f aca="false">-LOG(K18*0.000001)</f>
        <v>3.47925452848052</v>
      </c>
      <c r="O18" s="0" t="n">
        <f aca="false">-LOG(L18*0.000001)</f>
        <v>3.45829597671571</v>
      </c>
    </row>
    <row r="19" customFormat="false" ht="13.8" hidden="false" customHeight="false" outlineLevel="0" collapsed="false">
      <c r="A19" s="0" t="s">
        <v>50</v>
      </c>
      <c r="B19" s="0" t="s">
        <v>51</v>
      </c>
      <c r="C19" s="0" t="n">
        <v>26.5</v>
      </c>
      <c r="D19" s="0" t="n">
        <v>40.3</v>
      </c>
      <c r="E19" s="0" t="n">
        <v>81.8</v>
      </c>
      <c r="F19" s="0" t="n">
        <v>342.479</v>
      </c>
      <c r="G19" s="0" t="n">
        <v>2.09159248158988</v>
      </c>
      <c r="H19" s="0" t="n">
        <v>2.36396466174901</v>
      </c>
      <c r="I19" s="0" t="n">
        <v>3.18731586242352</v>
      </c>
      <c r="J19" s="0" t="s">
        <v>17</v>
      </c>
      <c r="K19" s="0" t="s">
        <v>17</v>
      </c>
      <c r="L19" s="1" t="n">
        <v>190.5</v>
      </c>
      <c r="M19" s="0" t="s">
        <v>17</v>
      </c>
      <c r="N19" s="0" t="s">
        <v>17</v>
      </c>
      <c r="O19" s="0" t="n">
        <f aca="false">-LOG(L19*0.000001)</f>
        <v>3.72010501998836</v>
      </c>
    </row>
    <row r="20" customFormat="false" ht="13.8" hidden="false" customHeight="false" outlineLevel="0" collapsed="false">
      <c r="A20" s="0" t="s">
        <v>52</v>
      </c>
      <c r="B20" s="0" t="s">
        <v>53</v>
      </c>
      <c r="C20" s="0" t="n">
        <v>97.4</v>
      </c>
      <c r="D20" s="0" t="n">
        <v>100</v>
      </c>
      <c r="E20" s="0" t="n">
        <v>94.2</v>
      </c>
      <c r="F20" s="0" t="n">
        <v>194.23</v>
      </c>
      <c r="G20" s="0" t="n">
        <v>3.86190191907409</v>
      </c>
      <c r="H20" s="0" t="n">
        <v>4.28395150476384</v>
      </c>
      <c r="I20" s="0" t="n">
        <v>3.49893921939623</v>
      </c>
      <c r="J20" s="0" t="n">
        <v>302.7</v>
      </c>
      <c r="K20" s="1" t="n">
        <v>270.5</v>
      </c>
      <c r="L20" s="1" t="n">
        <v>397</v>
      </c>
      <c r="M20" s="0" t="n">
        <f aca="false">-LOG(J20*0.000001)</f>
        <v>3.51898757904343</v>
      </c>
      <c r="N20" s="0" t="n">
        <f aca="false">-LOG(K20*0.000001)</f>
        <v>3.56783273055741</v>
      </c>
      <c r="O20" s="0" t="n">
        <f aca="false">-LOG(L20*0.000001)</f>
        <v>3.40120949323689</v>
      </c>
    </row>
    <row r="21" customFormat="false" ht="13.8" hidden="false" customHeight="false" outlineLevel="0" collapsed="false">
      <c r="A21" s="0" t="s">
        <v>54</v>
      </c>
      <c r="B21" s="0" t="s">
        <v>55</v>
      </c>
      <c r="C21" s="0" t="n">
        <v>97.3</v>
      </c>
      <c r="D21" s="0" t="n">
        <v>100</v>
      </c>
      <c r="E21" s="0" t="n">
        <v>89.5</v>
      </c>
      <c r="F21" s="0" t="n">
        <v>194.23</v>
      </c>
      <c r="G21" s="0" t="n">
        <v>3.84506538627566</v>
      </c>
      <c r="H21" s="0" t="n">
        <v>4.28395150476384</v>
      </c>
      <c r="I21" s="0" t="n">
        <v>3.21895004641227</v>
      </c>
      <c r="J21" s="1" t="n">
        <v>206.8</v>
      </c>
      <c r="K21" s="1" t="n">
        <v>243.6</v>
      </c>
      <c r="L21" s="1" t="n">
        <v>454.2</v>
      </c>
      <c r="M21" s="0" t="n">
        <f aca="false">-LOG(J21*0.000001)</f>
        <v>3.68444946557809</v>
      </c>
      <c r="N21" s="0" t="n">
        <f aca="false">-LOG(K21*0.000001)</f>
        <v>3.61332271603916</v>
      </c>
      <c r="O21" s="0" t="n">
        <f aca="false">-LOG(L21*0.000001)</f>
        <v>3.34275287011628</v>
      </c>
    </row>
    <row r="22" customFormat="false" ht="13.8" hidden="false" customHeight="false" outlineLevel="0" collapsed="false">
      <c r="A22" s="0" t="s">
        <v>56</v>
      </c>
      <c r="B22" s="0" t="s">
        <v>57</v>
      </c>
      <c r="C22" s="0" t="n">
        <v>97</v>
      </c>
      <c r="D22" s="0" t="n">
        <v>100</v>
      </c>
      <c r="E22" s="0" t="n">
        <v>100</v>
      </c>
      <c r="F22" s="0" t="n">
        <v>206.241</v>
      </c>
      <c r="G22" s="0" t="n">
        <v>3.82402548532312</v>
      </c>
      <c r="H22" s="0" t="n">
        <v>4.31001020037409</v>
      </c>
      <c r="I22" s="0" t="n">
        <v>4.31001020037409</v>
      </c>
      <c r="J22" s="1" t="n">
        <v>157.3</v>
      </c>
      <c r="K22" s="1" t="n">
        <v>299.7</v>
      </c>
      <c r="L22" s="1" t="n">
        <v>198</v>
      </c>
      <c r="M22" s="0" t="n">
        <f aca="false">-LOG(J22*0.000001)</f>
        <v>3.80327127737671</v>
      </c>
      <c r="N22" s="0" t="n">
        <f aca="false">-LOG(K22*0.000001)</f>
        <v>3.52331325705436</v>
      </c>
      <c r="O22" s="0" t="n">
        <f aca="false">-LOG(L22*0.000001)</f>
        <v>3.70333480973847</v>
      </c>
    </row>
    <row r="23" customFormat="false" ht="13.8" hidden="false" customHeight="false" outlineLevel="0" collapsed="false">
      <c r="A23" s="0" t="s">
        <v>58</v>
      </c>
      <c r="B23" s="0" t="s">
        <v>59</v>
      </c>
      <c r="C23" s="0" t="n">
        <v>23.2</v>
      </c>
      <c r="D23" s="0" t="n">
        <v>84.8</v>
      </c>
      <c r="E23" s="0" t="n">
        <v>86.9</v>
      </c>
      <c r="F23" s="0" t="n">
        <v>274.36</v>
      </c>
      <c r="G23" s="0" t="n">
        <v>1.91844755904584</v>
      </c>
      <c r="H23" s="0" t="n">
        <v>3.18487305849839</v>
      </c>
      <c r="I23" s="0" t="n">
        <v>3.26006927497935</v>
      </c>
      <c r="J23" s="0" t="s">
        <v>17</v>
      </c>
      <c r="K23" s="1" t="n">
        <v>136.1</v>
      </c>
      <c r="L23" s="0" t="n">
        <v>205</v>
      </c>
      <c r="M23" s="0" t="s">
        <v>17</v>
      </c>
      <c r="N23" s="0" t="n">
        <f aca="false">-LOG(K23*0.000001)</f>
        <v>3.86614187479666</v>
      </c>
      <c r="O23" s="0" t="n">
        <f aca="false">-LOG(L23*0.000001)</f>
        <v>3.68824613894425</v>
      </c>
    </row>
    <row r="24" customFormat="false" ht="12.8" hidden="false" customHeight="false" outlineLevel="0" collapsed="false">
      <c r="A24" s="0" t="s">
        <v>60</v>
      </c>
      <c r="B24" s="0" t="s">
        <v>61</v>
      </c>
      <c r="C24" s="0" t="n">
        <v>16.9</v>
      </c>
      <c r="D24" s="0" t="n">
        <v>40</v>
      </c>
      <c r="E24" s="0" t="n">
        <v>100</v>
      </c>
      <c r="F24" s="0" t="n">
        <v>342.479</v>
      </c>
      <c r="G24" s="0" t="n">
        <v>1.84291962756683</v>
      </c>
      <c r="H24" s="0" t="n">
        <v>2.35854268768159</v>
      </c>
      <c r="I24" s="0" t="n">
        <v>4.53026914133482</v>
      </c>
      <c r="J24" s="0" t="s">
        <v>17</v>
      </c>
      <c r="K24" s="0" t="s">
        <v>17</v>
      </c>
      <c r="L24" s="0" t="n">
        <v>40.1</v>
      </c>
      <c r="M24" s="0" t="s">
        <v>17</v>
      </c>
      <c r="N24" s="0" t="s">
        <v>17</v>
      </c>
      <c r="O24" s="0" t="n">
        <f aca="false">-LOG(L24*0.000001)</f>
        <v>4.39685562737982</v>
      </c>
    </row>
    <row r="25" customFormat="false" ht="13.8" hidden="false" customHeight="false" outlineLevel="0" collapsed="false">
      <c r="A25" s="0" t="s">
        <v>62</v>
      </c>
      <c r="B25" s="0" t="s">
        <v>63</v>
      </c>
      <c r="C25" s="0" t="n">
        <v>100</v>
      </c>
      <c r="D25" s="0" t="n">
        <v>95.7</v>
      </c>
      <c r="E25" s="0" t="n">
        <v>92.7</v>
      </c>
      <c r="F25" s="0" t="n">
        <v>210.229</v>
      </c>
      <c r="G25" s="0" t="n">
        <v>4.3183278190931</v>
      </c>
      <c r="H25" s="0" t="n">
        <v>3.67013610669281</v>
      </c>
      <c r="I25" s="0" t="n">
        <v>3.42644949851959</v>
      </c>
      <c r="J25" s="1" t="n">
        <v>117</v>
      </c>
      <c r="K25" s="1" t="n">
        <v>208.4</v>
      </c>
      <c r="L25" s="1" t="n">
        <v>402.6</v>
      </c>
      <c r="M25" s="0" t="n">
        <f aca="false">-LOG(J25*0.000001)</f>
        <v>3.93181413825384</v>
      </c>
      <c r="N25" s="0" t="n">
        <f aca="false">-LOG(K25*0.000001)</f>
        <v>3.68110228537251</v>
      </c>
      <c r="O25" s="0" t="n">
        <f aca="false">-LOG(L25*0.000001)</f>
        <v>3.39512622944736</v>
      </c>
    </row>
    <row r="26" customFormat="false" ht="13.8" hidden="false" customHeight="false" outlineLevel="0" collapsed="false">
      <c r="A26" s="0" t="s">
        <v>64</v>
      </c>
      <c r="B26" s="0" t="s">
        <v>65</v>
      </c>
      <c r="C26" s="0" t="n">
        <v>35.6</v>
      </c>
      <c r="D26" s="0" t="n">
        <v>82.1</v>
      </c>
      <c r="E26" s="0" t="n">
        <v>95.1</v>
      </c>
      <c r="F26" s="0" t="n">
        <v>222.24</v>
      </c>
      <c r="G26" s="0" t="n">
        <v>2.0893863590066</v>
      </c>
      <c r="H26" s="0" t="n">
        <v>3.00831235453309</v>
      </c>
      <c r="I26" s="0" t="n">
        <v>3.63480666530244</v>
      </c>
      <c r="J26" s="0" t="s">
        <v>17</v>
      </c>
      <c r="K26" s="1" t="n">
        <v>383.1</v>
      </c>
      <c r="L26" s="2" t="n">
        <v>364.3</v>
      </c>
      <c r="M26" s="0" t="s">
        <v>17</v>
      </c>
      <c r="N26" s="0" t="n">
        <f aca="false">-LOG(K26*0.000001)</f>
        <v>3.41668784801692</v>
      </c>
      <c r="O26" s="0" t="n">
        <f aca="false">-LOG(L26*0.000001)</f>
        <v>3.43854082875808</v>
      </c>
    </row>
    <row r="27" customFormat="false" ht="13.8" hidden="false" customHeight="false" outlineLevel="0" collapsed="false">
      <c r="A27" s="0" t="s">
        <v>66</v>
      </c>
      <c r="B27" s="0" t="s">
        <v>67</v>
      </c>
      <c r="C27" s="0" t="n">
        <v>29.3</v>
      </c>
      <c r="D27" s="0" t="n">
        <v>76.8</v>
      </c>
      <c r="E27" s="0" t="n">
        <v>70.3</v>
      </c>
      <c r="F27" s="0" t="n">
        <v>290.359</v>
      </c>
      <c r="G27" s="0" t="n">
        <v>2.08038349857546</v>
      </c>
      <c r="H27" s="0" t="n">
        <v>2.98280852715886</v>
      </c>
      <c r="I27" s="0" t="n">
        <v>2.83713416772086</v>
      </c>
      <c r="J27" s="0" t="s">
        <v>17</v>
      </c>
      <c r="K27" s="1" t="n">
        <v>196.5</v>
      </c>
      <c r="L27" s="1" t="n">
        <v>334.6</v>
      </c>
      <c r="M27" s="0" t="s">
        <v>17</v>
      </c>
      <c r="N27" s="0" t="n">
        <f aca="false">-LOG(K27*0.000001)</f>
        <v>3.70663744528855</v>
      </c>
      <c r="O27" s="0" t="n">
        <f aca="false">-LOG(L27*0.000001)</f>
        <v>3.47547406337362</v>
      </c>
    </row>
    <row r="28" customFormat="false" ht="13.8" hidden="false" customHeight="false" outlineLevel="0" collapsed="false">
      <c r="A28" s="0" t="s">
        <v>68</v>
      </c>
      <c r="B28" s="0" t="s">
        <v>69</v>
      </c>
      <c r="C28" s="0" t="n">
        <v>31.9</v>
      </c>
      <c r="D28" s="0" t="n">
        <v>60.7</v>
      </c>
      <c r="E28" s="0" t="n">
        <v>82.5</v>
      </c>
      <c r="F28" s="0" t="n">
        <v>358.478</v>
      </c>
      <c r="G28" s="0" t="n">
        <v>2.22510607906515</v>
      </c>
      <c r="H28" s="0" t="n">
        <v>2.74325864862059</v>
      </c>
      <c r="I28" s="0" t="n">
        <v>3.22787840778439</v>
      </c>
      <c r="J28" s="0" t="s">
        <v>17</v>
      </c>
      <c r="K28" s="1" t="n">
        <v>365.6</v>
      </c>
      <c r="L28" s="2" t="n">
        <v>233.9</v>
      </c>
      <c r="M28" s="0" t="s">
        <v>17</v>
      </c>
      <c r="N28" s="0" t="n">
        <f aca="false">-LOG(K28*0.000001)</f>
        <v>3.43699381293821</v>
      </c>
      <c r="O28" s="0" t="n">
        <f aca="false">-LOG(L28*0.000001)</f>
        <v>3.63096977819085</v>
      </c>
    </row>
    <row r="29" customFormat="false" ht="13.8" hidden="false" customHeight="false" outlineLevel="0" collapsed="false">
      <c r="A29" s="0" t="s">
        <v>70</v>
      </c>
      <c r="B29" s="0" t="s">
        <v>71</v>
      </c>
      <c r="C29" s="0" t="n">
        <v>36.9</v>
      </c>
      <c r="D29" s="0" t="n">
        <v>83.9</v>
      </c>
      <c r="E29" s="0" t="n">
        <v>94.7</v>
      </c>
      <c r="F29" s="0" t="n">
        <v>210.229</v>
      </c>
      <c r="G29" s="0" t="n">
        <v>2.08968963141048</v>
      </c>
      <c r="H29" s="0" t="n">
        <v>3.0396287092924</v>
      </c>
      <c r="I29" s="0" t="n">
        <v>3.57476673389804</v>
      </c>
      <c r="J29" s="0" t="s">
        <v>17</v>
      </c>
      <c r="K29" s="1" t="n">
        <v>506.7</v>
      </c>
      <c r="L29" s="1" t="n">
        <v>383.4</v>
      </c>
      <c r="M29" s="0" t="s">
        <v>17</v>
      </c>
      <c r="N29" s="0" t="n">
        <f aca="false">-LOG(K29*0.000001)</f>
        <v>3.29524909570933</v>
      </c>
      <c r="O29" s="0" t="n">
        <f aca="false">-LOG(L29*0.000001)</f>
        <v>3.41634789145796</v>
      </c>
    </row>
    <row r="30" customFormat="false" ht="13.8" hidden="false" customHeight="false" outlineLevel="0" collapsed="false">
      <c r="A30" s="0" t="s">
        <v>72</v>
      </c>
      <c r="B30" s="0" t="s">
        <v>73</v>
      </c>
      <c r="C30" s="0" t="n">
        <v>96.4</v>
      </c>
      <c r="D30" s="0" t="n">
        <v>91.8</v>
      </c>
      <c r="E30" s="0" t="n">
        <v>100</v>
      </c>
      <c r="F30" s="0" t="n">
        <v>210.229</v>
      </c>
      <c r="G30" s="0" t="n">
        <v>3.7504671576311</v>
      </c>
      <c r="H30" s="0" t="n">
        <v>3.37172145331308</v>
      </c>
      <c r="I30" s="0" t="n">
        <v>4.3183278190931</v>
      </c>
      <c r="J30" s="1" t="n">
        <v>296.7</v>
      </c>
      <c r="K30" s="1" t="n">
        <v>240.4</v>
      </c>
      <c r="L30" s="2" t="n">
        <v>248.2</v>
      </c>
      <c r="M30" s="0" t="n">
        <f aca="false">-LOG(J30*0.000001)</f>
        <v>3.52768245368316</v>
      </c>
      <c r="N30" s="0" t="n">
        <f aca="false">-LOG(K30*0.000001)</f>
        <v>3.6190655366693</v>
      </c>
      <c r="O30" s="0" t="n">
        <f aca="false">-LOG(L30*0.000001)</f>
        <v>3.60519822283729</v>
      </c>
    </row>
    <row r="31" customFormat="false" ht="13.8" hidden="false" customHeight="false" outlineLevel="0" collapsed="false">
      <c r="A31" s="0" t="s">
        <v>74</v>
      </c>
      <c r="B31" s="0" t="s">
        <v>75</v>
      </c>
      <c r="C31" s="0" t="n">
        <v>11.8</v>
      </c>
      <c r="D31" s="0" t="n">
        <v>40</v>
      </c>
      <c r="E31" s="0" t="n">
        <v>94.8</v>
      </c>
      <c r="F31" s="0" t="n">
        <v>222.24</v>
      </c>
      <c r="G31" s="0" t="n">
        <v>1.47323565056785</v>
      </c>
      <c r="H31" s="0" t="n">
        <v>2.17073096933786</v>
      </c>
      <c r="I31" s="0" t="n">
        <v>3.60762722209681</v>
      </c>
      <c r="J31" s="0" t="s">
        <v>17</v>
      </c>
      <c r="K31" s="0" t="s">
        <v>17</v>
      </c>
      <c r="L31" s="1" t="n">
        <v>227.7</v>
      </c>
      <c r="M31" s="0" t="s">
        <v>17</v>
      </c>
      <c r="N31" s="0" t="s">
        <v>17</v>
      </c>
      <c r="O31" s="0" t="n">
        <f aca="false">-LOG(L31*0.000001)</f>
        <v>3.64263696938486</v>
      </c>
    </row>
    <row r="32" customFormat="false" ht="13.8" hidden="false" customHeight="false" outlineLevel="0" collapsed="false">
      <c r="A32" s="0" t="s">
        <v>76</v>
      </c>
      <c r="B32" s="0" t="s">
        <v>77</v>
      </c>
      <c r="C32" s="0" t="n">
        <v>10.2</v>
      </c>
      <c r="D32" s="0" t="n">
        <v>100</v>
      </c>
      <c r="E32" s="0" t="n">
        <v>89.1</v>
      </c>
      <c r="F32" s="0" t="n">
        <v>290.359</v>
      </c>
      <c r="G32" s="0" t="n">
        <v>1.51825912711286</v>
      </c>
      <c r="H32" s="0" t="n">
        <v>4.4585704866158</v>
      </c>
      <c r="I32" s="0" t="n">
        <v>3.3753864981145</v>
      </c>
      <c r="J32" s="0" t="s">
        <v>17</v>
      </c>
      <c r="K32" s="1" t="n">
        <v>177.8</v>
      </c>
      <c r="L32" s="2" t="n">
        <v>232.6</v>
      </c>
      <c r="M32" s="0" t="s">
        <v>17</v>
      </c>
      <c r="N32" s="0" t="n">
        <f aca="false">-LOG(K32*0.000001)</f>
        <v>3.75006824336581</v>
      </c>
      <c r="O32" s="0" t="n">
        <f aca="false">-LOG(L32*0.000001)</f>
        <v>3.63339028960757</v>
      </c>
    </row>
    <row r="33" customFormat="false" ht="12.8" hidden="false" customHeight="false" outlineLevel="0" collapsed="false">
      <c r="A33" s="0" t="s">
        <v>78</v>
      </c>
      <c r="B33" s="0" t="s">
        <v>79</v>
      </c>
      <c r="C33" s="0" t="n">
        <v>33.6</v>
      </c>
      <c r="D33" s="0" t="n">
        <v>7.5</v>
      </c>
      <c r="E33" s="0" t="n">
        <v>35.4</v>
      </c>
      <c r="F33" s="0" t="n">
        <v>358.478</v>
      </c>
      <c r="G33" s="0" t="n">
        <v>2.25863370594258</v>
      </c>
      <c r="H33" s="0" t="n">
        <v>1.46338203857342</v>
      </c>
      <c r="I33" s="0" t="n">
        <v>2.29323325195146</v>
      </c>
      <c r="J33" s="0" t="s">
        <v>17</v>
      </c>
      <c r="K33" s="0" t="s">
        <v>17</v>
      </c>
      <c r="L33" s="0" t="s">
        <v>17</v>
      </c>
      <c r="M33" s="0" t="s">
        <v>17</v>
      </c>
      <c r="N33" s="0" t="s">
        <v>17</v>
      </c>
      <c r="O33" s="0" t="s">
        <v>17</v>
      </c>
    </row>
    <row r="34" customFormat="false" ht="13.8" hidden="false" customHeight="false" outlineLevel="0" collapsed="false">
      <c r="A34" s="0" t="s">
        <v>80</v>
      </c>
      <c r="B34" s="0" t="s">
        <v>81</v>
      </c>
      <c r="C34" s="0" t="n">
        <v>100</v>
      </c>
      <c r="D34" s="0" t="n">
        <v>100</v>
      </c>
      <c r="E34" s="0" t="n">
        <v>79.5</v>
      </c>
      <c r="F34" s="0" t="n">
        <v>210.229</v>
      </c>
      <c r="G34" s="0" t="n">
        <v>4.3183278190931</v>
      </c>
      <c r="H34" s="0" t="n">
        <v>4.3183278190931</v>
      </c>
      <c r="I34" s="0" t="n">
        <v>2.91130589209627</v>
      </c>
      <c r="J34" s="0" t="n">
        <v>129</v>
      </c>
      <c r="K34" s="1" t="n">
        <v>202</v>
      </c>
      <c r="L34" s="3" t="n">
        <v>325.7</v>
      </c>
      <c r="M34" s="0" t="n">
        <f aca="false">-LOG(J34*0.000001)</f>
        <v>3.88941028970075</v>
      </c>
      <c r="N34" s="0" t="n">
        <f aca="false">-LOG(K34*0.000001)</f>
        <v>3.69464863055338</v>
      </c>
      <c r="O34" s="0" t="n">
        <f aca="false">-LOG(L34*0.000001)</f>
        <v>3.48718224143513</v>
      </c>
    </row>
    <row r="35" customFormat="false" ht="13.8" hidden="false" customHeight="false" outlineLevel="0" collapsed="false">
      <c r="A35" s="0" t="s">
        <v>82</v>
      </c>
      <c r="B35" s="0" t="s">
        <v>83</v>
      </c>
      <c r="C35" s="0" t="n">
        <v>100</v>
      </c>
      <c r="D35" s="0" t="n">
        <v>96.9</v>
      </c>
      <c r="E35" s="0" t="n">
        <v>84.3</v>
      </c>
      <c r="F35" s="0" t="n">
        <v>222.24</v>
      </c>
      <c r="G35" s="0" t="n">
        <v>4.34245742299109</v>
      </c>
      <c r="H35" s="0" t="n">
        <v>3.84178431161003</v>
      </c>
      <c r="I35" s="0" t="n">
        <v>3.07675015060905</v>
      </c>
      <c r="J35" s="1" t="n">
        <v>213.5</v>
      </c>
      <c r="K35" s="1" t="n">
        <v>459.9</v>
      </c>
      <c r="L35" s="2" t="n">
        <v>304.4</v>
      </c>
      <c r="M35" s="0" t="n">
        <f aca="false">-LOG(J35*0.000001)</f>
        <v>3.67060212063896</v>
      </c>
      <c r="N35" s="0" t="n">
        <f aca="false">-LOG(K35*0.000001)</f>
        <v>3.33733659042596</v>
      </c>
      <c r="O35" s="0" t="n">
        <f aca="false">-LOG(L35*0.000001)</f>
        <v>3.51655535190146</v>
      </c>
    </row>
    <row r="36" customFormat="false" ht="13.8" hidden="false" customHeight="false" outlineLevel="0" collapsed="false">
      <c r="A36" s="0" t="s">
        <v>84</v>
      </c>
      <c r="B36" s="0" t="s">
        <v>85</v>
      </c>
      <c r="C36" s="0" t="n">
        <v>39.3</v>
      </c>
      <c r="D36" s="0" t="n">
        <v>22.3</v>
      </c>
      <c r="E36" s="0" t="n">
        <v>92.7</v>
      </c>
      <c r="F36" s="0" t="n">
        <v>290.359</v>
      </c>
      <c r="G36" s="0" t="n">
        <v>2.27413915131842</v>
      </c>
      <c r="H36" s="0" t="n">
        <v>1.9208191362655</v>
      </c>
      <c r="I36" s="0" t="n">
        <v>3.56669216604229</v>
      </c>
      <c r="J36" s="0" t="s">
        <v>17</v>
      </c>
      <c r="K36" s="0" t="s">
        <v>17</v>
      </c>
      <c r="L36" s="1" t="n">
        <v>147.2</v>
      </c>
      <c r="M36" s="0" t="s">
        <v>17</v>
      </c>
      <c r="N36" s="0" t="s">
        <v>17</v>
      </c>
      <c r="O36" s="0" t="n">
        <f aca="false">-LOG(L36*0.000001)</f>
        <v>3.83209218999852</v>
      </c>
    </row>
    <row r="37" customFormat="false" ht="12.8" hidden="false" customHeight="false" outlineLevel="0" collapsed="false">
      <c r="A37" s="0" t="s">
        <v>86</v>
      </c>
      <c r="B37" s="0" t="s">
        <v>87</v>
      </c>
      <c r="C37" s="0" t="n">
        <v>27.2</v>
      </c>
      <c r="D37" s="0" t="n">
        <v>33.8</v>
      </c>
      <c r="E37" s="0" t="n">
        <v>1.7</v>
      </c>
      <c r="F37" s="0" t="n">
        <v>358.478</v>
      </c>
      <c r="G37" s="0" t="n">
        <v>2.12690003264192</v>
      </c>
      <c r="H37" s="0" t="n">
        <v>2.26252121875871</v>
      </c>
      <c r="I37" s="0" t="n">
        <v>0.792357911466895</v>
      </c>
      <c r="J37" s="0" t="s">
        <v>17</v>
      </c>
      <c r="K37" s="0" t="s">
        <v>17</v>
      </c>
      <c r="L37" s="0" t="s">
        <v>17</v>
      </c>
      <c r="M37" s="0" t="s">
        <v>17</v>
      </c>
      <c r="N37" s="0" t="s">
        <v>17</v>
      </c>
      <c r="O37" s="0" t="s">
        <v>17</v>
      </c>
    </row>
    <row r="38" customFormat="false" ht="13.8" hidden="false" customHeight="false" outlineLevel="0" collapsed="false">
      <c r="A38" s="0" t="s">
        <v>88</v>
      </c>
      <c r="B38" s="0" t="s">
        <v>89</v>
      </c>
      <c r="C38" s="0" t="n">
        <v>75.3</v>
      </c>
      <c r="D38" s="0" t="n">
        <v>100</v>
      </c>
      <c r="E38" s="0" t="n">
        <v>85.5</v>
      </c>
      <c r="F38" s="0" t="n">
        <v>210.229</v>
      </c>
      <c r="G38" s="0" t="n">
        <v>2.80679064743659</v>
      </c>
      <c r="H38" s="0" t="n">
        <v>4.3183278190931</v>
      </c>
      <c r="I38" s="0" t="n">
        <v>3.09329073698875</v>
      </c>
      <c r="J38" s="1" t="n">
        <v>511.4</v>
      </c>
      <c r="K38" s="1" t="n">
        <v>260.6</v>
      </c>
      <c r="L38" s="1" t="n">
        <v>457.6</v>
      </c>
      <c r="M38" s="0" t="n">
        <f aca="false">-LOG(J38*0.000001)</f>
        <v>3.29123927630968</v>
      </c>
      <c r="N38" s="0" t="n">
        <f aca="false">-LOG(K38*0.000001)</f>
        <v>3.58402558862343</v>
      </c>
      <c r="O38" s="0" t="n">
        <f aca="false">-LOG(L38*0.000001)</f>
        <v>3.33951398421503</v>
      </c>
    </row>
    <row r="39" customFormat="false" ht="13.8" hidden="false" customHeight="false" outlineLevel="0" collapsed="false">
      <c r="A39" s="0" t="s">
        <v>90</v>
      </c>
      <c r="B39" s="0" t="s">
        <v>91</v>
      </c>
      <c r="C39" s="0" t="n">
        <v>14</v>
      </c>
      <c r="D39" s="0" t="n">
        <v>83.7</v>
      </c>
      <c r="E39" s="0" t="n">
        <v>30</v>
      </c>
      <c r="F39" s="0" t="n">
        <v>222.24</v>
      </c>
      <c r="G39" s="0" t="n">
        <v>1.55845181282821</v>
      </c>
      <c r="H39" s="0" t="n">
        <v>3.05736008198284</v>
      </c>
      <c r="I39" s="0" t="n">
        <v>1.97884544309895</v>
      </c>
      <c r="J39" s="0" t="s">
        <v>17</v>
      </c>
      <c r="K39" s="1" t="n">
        <v>196.7</v>
      </c>
      <c r="L39" s="0" t="s">
        <v>17</v>
      </c>
      <c r="M39" s="0" t="s">
        <v>17</v>
      </c>
      <c r="N39" s="0" t="n">
        <f aca="false">-LOG(K39*0.000001)</f>
        <v>3.70619564008066</v>
      </c>
      <c r="O39" s="0" t="s">
        <v>17</v>
      </c>
    </row>
    <row r="40" customFormat="false" ht="12.8" hidden="false" customHeight="false" outlineLevel="0" collapsed="false">
      <c r="A40" s="0" t="s">
        <v>92</v>
      </c>
      <c r="B40" s="0" t="s">
        <v>93</v>
      </c>
      <c r="C40" s="0" t="n">
        <v>28.7</v>
      </c>
      <c r="D40" s="0" t="n">
        <v>48</v>
      </c>
      <c r="E40" s="0" t="n">
        <v>15.6</v>
      </c>
      <c r="F40" s="0" t="n">
        <v>290.359</v>
      </c>
      <c r="G40" s="0" t="n">
        <v>2.06772765890038</v>
      </c>
      <c r="H40" s="0" t="n">
        <v>2.42817318575904</v>
      </c>
      <c r="I40" s="0" t="n">
        <v>1.72971744374706</v>
      </c>
      <c r="J40" s="0" t="s">
        <v>17</v>
      </c>
      <c r="K40" s="0" t="s">
        <v>17</v>
      </c>
      <c r="L40" s="0" t="s">
        <v>17</v>
      </c>
      <c r="M40" s="0" t="s">
        <v>17</v>
      </c>
      <c r="N40" s="0" t="s">
        <v>17</v>
      </c>
      <c r="O40" s="0" t="s">
        <v>17</v>
      </c>
    </row>
    <row r="41" customFormat="false" ht="12.8" hidden="false" customHeight="false" outlineLevel="0" collapsed="false">
      <c r="A41" s="0" t="s">
        <v>94</v>
      </c>
      <c r="B41" s="0" t="s">
        <v>95</v>
      </c>
      <c r="C41" s="0" t="n">
        <v>17.3</v>
      </c>
      <c r="D41" s="0" t="n">
        <v>8</v>
      </c>
      <c r="E41" s="0" t="n">
        <v>37.4</v>
      </c>
      <c r="F41" s="0" t="n">
        <v>358.478</v>
      </c>
      <c r="G41" s="0" t="n">
        <v>1.87500310149701</v>
      </c>
      <c r="H41" s="0" t="n">
        <v>1.49376466756715</v>
      </c>
      <c r="I41" s="0" t="n">
        <v>2.33075977691081</v>
      </c>
      <c r="J41" s="0" t="s">
        <v>17</v>
      </c>
      <c r="K41" s="0" t="s">
        <v>17</v>
      </c>
      <c r="L41" s="0" t="s">
        <v>17</v>
      </c>
      <c r="M41" s="0" t="s">
        <v>17</v>
      </c>
      <c r="N41" s="0" t="s">
        <v>17</v>
      </c>
      <c r="O41" s="0" t="s">
        <v>17</v>
      </c>
    </row>
    <row r="42" customFormat="false" ht="13.8" hidden="false" customHeight="false" outlineLevel="0" collapsed="false">
      <c r="A42" s="0" t="s">
        <v>96</v>
      </c>
      <c r="B42" s="0" t="s">
        <v>97</v>
      </c>
      <c r="C42" s="0" t="n">
        <v>70.4</v>
      </c>
      <c r="D42" s="0" t="n">
        <v>97.2</v>
      </c>
      <c r="E42" s="0" t="n">
        <v>72.3</v>
      </c>
      <c r="F42" s="0" t="n">
        <v>226.228</v>
      </c>
      <c r="G42" s="0" t="n">
        <v>2.73082730416745</v>
      </c>
      <c r="H42" s="0" t="n">
        <v>3.89505458966833</v>
      </c>
      <c r="I42" s="0" t="n">
        <v>2.77120488431435</v>
      </c>
      <c r="J42" s="1" t="n">
        <v>450.9</v>
      </c>
      <c r="K42" s="1" t="n">
        <v>369</v>
      </c>
      <c r="L42" s="2" t="n">
        <v>325.8</v>
      </c>
      <c r="M42" s="0" t="n">
        <f aca="false">-LOG(J42*0.000001)</f>
        <v>3.34591976469343</v>
      </c>
      <c r="N42" s="0" t="n">
        <f aca="false">-LOG(K42*0.000001)</f>
        <v>3.43297363384094</v>
      </c>
      <c r="O42" s="0" t="n">
        <f aca="false">-LOG(L42*0.000001)</f>
        <v>3.48704892002751</v>
      </c>
    </row>
    <row r="43" customFormat="false" ht="13.8" hidden="false" customHeight="false" outlineLevel="0" collapsed="false">
      <c r="A43" s="0" t="s">
        <v>98</v>
      </c>
      <c r="B43" s="0" t="s">
        <v>99</v>
      </c>
      <c r="C43" s="0" t="n">
        <v>11</v>
      </c>
      <c r="D43" s="0" t="n">
        <v>100</v>
      </c>
      <c r="E43" s="0" t="n">
        <v>100</v>
      </c>
      <c r="F43" s="0" t="n">
        <v>238.239</v>
      </c>
      <c r="G43" s="0" t="n">
        <v>1.4690155359891</v>
      </c>
      <c r="H43" s="0" t="n">
        <v>4.37264805207334</v>
      </c>
      <c r="I43" s="0" t="n">
        <v>4.37264805207334</v>
      </c>
      <c r="J43" s="0" t="s">
        <v>17</v>
      </c>
      <c r="K43" s="1" t="n">
        <v>163.6</v>
      </c>
      <c r="L43" s="1" t="n">
        <v>170.3</v>
      </c>
      <c r="M43" s="0" t="s">
        <v>17</v>
      </c>
      <c r="N43" s="0" t="n">
        <f aca="false">-LOG(K43*0.000001)</f>
        <v>3.7862167006647</v>
      </c>
      <c r="O43" s="0" t="n">
        <f aca="false">-LOG(L43*0.000001)</f>
        <v>3.7687853520374</v>
      </c>
    </row>
    <row r="44" customFormat="false" ht="12.8" hidden="false" customHeight="false" outlineLevel="0" collapsed="false">
      <c r="A44" s="0" t="s">
        <v>100</v>
      </c>
      <c r="B44" s="0" t="s">
        <v>101</v>
      </c>
      <c r="C44" s="0" t="n">
        <v>20.3</v>
      </c>
      <c r="D44" s="0" t="n">
        <v>44</v>
      </c>
      <c r="E44" s="0" t="n">
        <v>30.8</v>
      </c>
      <c r="F44" s="0" t="n">
        <v>306.358</v>
      </c>
      <c r="G44" s="0" t="n">
        <v>1.89226694216921</v>
      </c>
      <c r="H44" s="0" t="n">
        <v>2.3814938751321</v>
      </c>
      <c r="I44" s="0" t="n">
        <v>2.1346738476958</v>
      </c>
      <c r="J44" s="0" t="s">
        <v>17</v>
      </c>
      <c r="K44" s="0" t="s">
        <v>17</v>
      </c>
      <c r="L44" s="0" t="s">
        <v>17</v>
      </c>
      <c r="M44" s="0" t="s">
        <v>17</v>
      </c>
      <c r="N44" s="0" t="s">
        <v>17</v>
      </c>
      <c r="O44" s="0" t="s">
        <v>17</v>
      </c>
    </row>
    <row r="45" customFormat="false" ht="13.8" hidden="false" customHeight="false" outlineLevel="0" collapsed="false">
      <c r="A45" s="0" t="s">
        <v>102</v>
      </c>
      <c r="B45" s="0" t="s">
        <v>103</v>
      </c>
      <c r="C45" s="0" t="n">
        <v>23.1</v>
      </c>
      <c r="D45" s="0" t="n">
        <v>67.3</v>
      </c>
      <c r="E45" s="0" t="n">
        <v>100</v>
      </c>
      <c r="F45" s="0" t="n">
        <v>374.477</v>
      </c>
      <c r="G45" s="0" t="n">
        <v>2.05111078901584</v>
      </c>
      <c r="H45" s="0" t="n">
        <v>2.88689246048882</v>
      </c>
      <c r="I45" s="0" t="n">
        <v>4.56906034352268</v>
      </c>
      <c r="J45" s="0" t="s">
        <v>17</v>
      </c>
      <c r="K45" s="1" t="n">
        <v>264.7</v>
      </c>
      <c r="L45" s="2" t="n">
        <v>120.5</v>
      </c>
      <c r="M45" s="0" t="s">
        <v>17</v>
      </c>
      <c r="N45" s="0" t="n">
        <f aca="false">-LOG(K45*0.000001)</f>
        <v>3.57724605869865</v>
      </c>
      <c r="O45" s="0" t="n">
        <f aca="false">-LOG(L45*0.000001)</f>
        <v>3.91901295308911</v>
      </c>
    </row>
    <row r="46" customFormat="false" ht="13.8" hidden="false" customHeight="false" outlineLevel="0" collapsed="false">
      <c r="A46" s="0" t="s">
        <v>104</v>
      </c>
      <c r="B46" s="0" t="s">
        <v>105</v>
      </c>
      <c r="C46" s="0" t="n">
        <v>83</v>
      </c>
      <c r="D46" s="0" t="n">
        <v>88.5</v>
      </c>
      <c r="E46" s="0" t="n">
        <v>91.1</v>
      </c>
      <c r="F46" s="0" t="n">
        <v>222.24</v>
      </c>
      <c r="G46" s="0" t="n">
        <v>3.03545139939134</v>
      </c>
      <c r="H46" s="0" t="n">
        <v>3.23306765873775</v>
      </c>
      <c r="I46" s="0" t="n">
        <v>3.35695059872163</v>
      </c>
      <c r="J46" s="1" t="n">
        <v>266.5</v>
      </c>
      <c r="K46" s="1" t="n">
        <v>236.2</v>
      </c>
      <c r="L46" s="1" t="n">
        <v>267.9</v>
      </c>
      <c r="M46" s="0" t="n">
        <f aca="false">-LOG(J46*0.000001)</f>
        <v>3.57430278663741</v>
      </c>
      <c r="N46" s="0" t="n">
        <f aca="false">-LOG(K46*0.000001)</f>
        <v>3.6267201067225</v>
      </c>
      <c r="O46" s="0" t="n">
        <f aca="false">-LOG(L46*0.000001)</f>
        <v>3.57202728639179</v>
      </c>
    </row>
    <row r="47" customFormat="false" ht="13.8" hidden="false" customHeight="false" outlineLevel="0" collapsed="false">
      <c r="A47" s="0" t="s">
        <v>106</v>
      </c>
      <c r="B47" s="0" t="s">
        <v>107</v>
      </c>
      <c r="C47" s="0" t="n">
        <v>28.1</v>
      </c>
      <c r="D47" s="0" t="n">
        <v>67.8</v>
      </c>
      <c r="E47" s="0" t="n">
        <v>94.3</v>
      </c>
      <c r="F47" s="0" t="n">
        <v>234.251</v>
      </c>
      <c r="G47" s="0" t="n">
        <v>1.96165888305663</v>
      </c>
      <c r="H47" s="0" t="n">
        <v>2.69305527570567</v>
      </c>
      <c r="I47" s="0" t="n">
        <v>3.58831829059927</v>
      </c>
      <c r="J47" s="0" t="s">
        <v>17</v>
      </c>
      <c r="K47" s="1" t="n">
        <v>543.6</v>
      </c>
      <c r="L47" s="2" t="n">
        <v>228</v>
      </c>
      <c r="M47" s="0" t="s">
        <v>17</v>
      </c>
      <c r="N47" s="0" t="n">
        <f aca="false">-LOG(K47*0.000001)</f>
        <v>3.26472055193954</v>
      </c>
      <c r="O47" s="0" t="n">
        <f aca="false">-LOG(L47*0.000001)</f>
        <v>3.64206515299955</v>
      </c>
    </row>
    <row r="48" customFormat="false" ht="13.8" hidden="false" customHeight="false" outlineLevel="0" collapsed="false">
      <c r="A48" s="0" t="s">
        <v>108</v>
      </c>
      <c r="B48" s="0" t="s">
        <v>109</v>
      </c>
      <c r="C48" s="0" t="n">
        <v>7.5</v>
      </c>
      <c r="D48" s="0" t="n">
        <v>27.8</v>
      </c>
      <c r="E48" s="0" t="n">
        <v>100</v>
      </c>
      <c r="F48" s="0" t="n">
        <v>302.37</v>
      </c>
      <c r="G48" s="0" t="n">
        <v>1.38945823057452</v>
      </c>
      <c r="H48" s="0" t="n">
        <v>2.06604629827029</v>
      </c>
      <c r="I48" s="0" t="n">
        <v>4.47617389451941</v>
      </c>
      <c r="J48" s="0" t="s">
        <v>17</v>
      </c>
      <c r="K48" s="0" t="s">
        <v>17</v>
      </c>
      <c r="L48" s="1" t="n">
        <v>143.7</v>
      </c>
      <c r="M48" s="0" t="s">
        <v>17</v>
      </c>
      <c r="N48" s="0" t="s">
        <v>17</v>
      </c>
      <c r="O48" s="0" t="n">
        <f aca="false">-LOG(L48*0.000001)</f>
        <v>3.84254323186577</v>
      </c>
    </row>
    <row r="49" customFormat="false" ht="12.8" hidden="false" customHeight="false" outlineLevel="0" collapsed="false">
      <c r="A49" s="0" t="s">
        <v>110</v>
      </c>
      <c r="B49" s="0" t="s">
        <v>111</v>
      </c>
      <c r="C49" s="0" t="n">
        <v>31.4</v>
      </c>
      <c r="D49" s="0" t="n">
        <v>4.4</v>
      </c>
      <c r="E49" s="0" t="n">
        <v>27.4</v>
      </c>
      <c r="F49" s="0" t="n">
        <v>208.257</v>
      </c>
      <c r="G49" s="0" t="n">
        <v>1.97920514033379</v>
      </c>
      <c r="H49" s="0" t="n">
        <v>0.981594392177417</v>
      </c>
      <c r="I49" s="0" t="n">
        <v>1.89541355008762</v>
      </c>
      <c r="J49" s="0" t="s">
        <v>17</v>
      </c>
      <c r="K49" s="0" t="s">
        <v>17</v>
      </c>
      <c r="L49" s="0" t="s">
        <v>17</v>
      </c>
      <c r="M49" s="0" t="s">
        <v>17</v>
      </c>
      <c r="N49" s="0" t="s">
        <v>17</v>
      </c>
      <c r="O49" s="0" t="s">
        <v>17</v>
      </c>
    </row>
    <row r="50" customFormat="false" ht="13.8" hidden="false" customHeight="false" outlineLevel="0" collapsed="false">
      <c r="A50" s="0" t="s">
        <v>112</v>
      </c>
      <c r="B50" s="0" t="s">
        <v>113</v>
      </c>
      <c r="C50" s="0" t="n">
        <v>32.6</v>
      </c>
      <c r="D50" s="0" t="n">
        <v>45.6</v>
      </c>
      <c r="E50" s="0" t="n">
        <v>96.4</v>
      </c>
      <c r="F50" s="0" t="n">
        <v>208.257</v>
      </c>
      <c r="G50" s="0" t="n">
        <v>2.00315731149995</v>
      </c>
      <c r="H50" s="0" t="n">
        <v>2.24196555093358</v>
      </c>
      <c r="I50" s="0" t="n">
        <v>3.74637414110287</v>
      </c>
      <c r="J50" s="0" t="s">
        <v>17</v>
      </c>
      <c r="K50" s="0" t="s">
        <v>17</v>
      </c>
      <c r="L50" s="2" t="n">
        <v>185.9</v>
      </c>
      <c r="M50" s="0" t="s">
        <v>17</v>
      </c>
      <c r="N50" s="0" t="s">
        <v>17</v>
      </c>
      <c r="O50" s="0" t="n">
        <f aca="false">-LOG(L50*0.000001)</f>
        <v>3.7307206102281</v>
      </c>
    </row>
    <row r="51" customFormat="false" ht="13.8" hidden="false" customHeight="false" outlineLevel="0" collapsed="false">
      <c r="A51" s="0" t="s">
        <v>114</v>
      </c>
      <c r="B51" s="0" t="s">
        <v>115</v>
      </c>
      <c r="C51" s="0" t="n">
        <v>100</v>
      </c>
      <c r="D51" s="0" t="n">
        <v>91.3</v>
      </c>
      <c r="E51" s="0" t="n">
        <v>81.3</v>
      </c>
      <c r="F51" s="0" t="n">
        <v>224.256</v>
      </c>
      <c r="G51" s="0" t="n">
        <v>4.34637926607748</v>
      </c>
      <c r="H51" s="0" t="n">
        <v>3.37169559639561</v>
      </c>
      <c r="I51" s="0" t="n">
        <v>2.9889930105375</v>
      </c>
      <c r="J51" s="1" t="n">
        <v>120.8</v>
      </c>
      <c r="K51" s="1" t="n">
        <v>367.7</v>
      </c>
      <c r="L51" s="1" t="n">
        <v>292.3</v>
      </c>
      <c r="M51" s="0" t="n">
        <f aca="false">-LOG(J51*0.000001)</f>
        <v>3.91793306571489</v>
      </c>
      <c r="N51" s="0" t="n">
        <f aca="false">-LOG(K51*0.000001)</f>
        <v>3.43450637013114</v>
      </c>
      <c r="O51" s="0" t="n">
        <f aca="false">-LOG(L51*0.000001)</f>
        <v>3.53417118464256</v>
      </c>
    </row>
    <row r="52" customFormat="false" ht="13.8" hidden="false" customHeight="false" outlineLevel="0" collapsed="false">
      <c r="A52" s="0" t="s">
        <v>116</v>
      </c>
      <c r="B52" s="0" t="s">
        <v>117</v>
      </c>
      <c r="C52" s="0" t="n">
        <v>37.6</v>
      </c>
      <c r="D52" s="0" t="n">
        <v>85.1</v>
      </c>
      <c r="E52" s="0" t="n">
        <v>97</v>
      </c>
      <c r="F52" s="0" t="n">
        <v>236.267</v>
      </c>
      <c r="G52" s="0" t="n">
        <v>2.15340632212209</v>
      </c>
      <c r="H52" s="0" t="n">
        <v>3.13014635854916</v>
      </c>
      <c r="I52" s="0" t="n">
        <v>3.88305354642343</v>
      </c>
      <c r="J52" s="0" t="s">
        <v>17</v>
      </c>
      <c r="K52" s="1" t="n">
        <v>448.7</v>
      </c>
      <c r="L52" s="2" t="n">
        <v>295.2</v>
      </c>
      <c r="M52" s="0" t="s">
        <v>17</v>
      </c>
      <c r="N52" s="0" t="n">
        <f aca="false">-LOG(K52*0.000001)</f>
        <v>3.34804393046693</v>
      </c>
      <c r="O52" s="0" t="n">
        <f aca="false">-LOG(L52*0.000001)</f>
        <v>3.529883646849</v>
      </c>
    </row>
    <row r="53" customFormat="false" ht="13.8" hidden="false" customHeight="false" outlineLevel="0" collapsed="false">
      <c r="A53" s="0" t="s">
        <v>118</v>
      </c>
      <c r="B53" s="0" t="s">
        <v>117</v>
      </c>
      <c r="C53" s="0" t="n">
        <v>10.4</v>
      </c>
      <c r="D53" s="0" t="n">
        <v>34.9</v>
      </c>
      <c r="E53" s="0" t="n">
        <v>78.2</v>
      </c>
      <c r="F53" s="0" t="n">
        <v>236.267</v>
      </c>
      <c r="G53" s="0" t="n">
        <v>1.4381283965135</v>
      </c>
      <c r="H53" s="0" t="n">
        <v>2.10264750526784</v>
      </c>
      <c r="I53" s="0" t="n">
        <v>2.92815332633209</v>
      </c>
      <c r="J53" s="0" t="s">
        <v>17</v>
      </c>
      <c r="K53" s="0" t="s">
        <v>17</v>
      </c>
      <c r="L53" s="1" t="n">
        <v>276.2</v>
      </c>
      <c r="M53" s="0" t="s">
        <v>17</v>
      </c>
      <c r="N53" s="0" t="s">
        <v>17</v>
      </c>
      <c r="O53" s="0" t="n">
        <f aca="false">-LOG(L53*0.000001)</f>
        <v>3.55877632575739</v>
      </c>
    </row>
    <row r="54" customFormat="false" ht="13.8" hidden="false" customHeight="false" outlineLevel="0" collapsed="false">
      <c r="A54" s="0" t="s">
        <v>119</v>
      </c>
      <c r="B54" s="0" t="s">
        <v>120</v>
      </c>
      <c r="C54" s="0" t="n">
        <v>14.9</v>
      </c>
      <c r="D54" s="0" t="n">
        <v>100</v>
      </c>
      <c r="E54" s="0" t="n">
        <v>95.5</v>
      </c>
      <c r="F54" s="0" t="n">
        <v>304.386</v>
      </c>
      <c r="G54" s="0" t="n">
        <v>1.72668138184485</v>
      </c>
      <c r="H54" s="0" t="n">
        <v>4.47905986811471</v>
      </c>
      <c r="I54" s="0" t="n">
        <v>3.81021553132557</v>
      </c>
      <c r="J54" s="0" t="s">
        <v>17</v>
      </c>
      <c r="K54" s="1" t="n">
        <v>149</v>
      </c>
      <c r="L54" s="2" t="n">
        <v>117.4</v>
      </c>
      <c r="M54" s="0" t="s">
        <v>17</v>
      </c>
      <c r="N54" s="0" t="n">
        <f aca="false">-LOG(K54*0.000001)</f>
        <v>3.82681373158773</v>
      </c>
      <c r="O54" s="0" t="n">
        <f aca="false">-LOG(L54*0.000001)</f>
        <v>3.9303319030884</v>
      </c>
    </row>
    <row r="55" customFormat="false" ht="13.8" hidden="false" customHeight="false" outlineLevel="0" collapsed="false">
      <c r="A55" s="0" t="s">
        <v>121</v>
      </c>
      <c r="B55" s="0" t="s">
        <v>122</v>
      </c>
      <c r="C55" s="0" t="n">
        <v>100</v>
      </c>
      <c r="D55" s="0" t="n">
        <v>100</v>
      </c>
      <c r="E55" s="0" t="n">
        <v>90.2</v>
      </c>
      <c r="F55" s="0" t="n">
        <v>372.505</v>
      </c>
      <c r="G55" s="0" t="n">
        <v>4.56676730109887</v>
      </c>
      <c r="H55" s="0" t="n">
        <v>4.56676730109887</v>
      </c>
      <c r="I55" s="0" t="n">
        <v>3.53511256835077</v>
      </c>
      <c r="J55" s="1" t="n">
        <v>130.4</v>
      </c>
      <c r="K55" s="1" t="n">
        <v>220.3</v>
      </c>
      <c r="L55" s="1" t="n">
        <v>323.6</v>
      </c>
      <c r="M55" s="0" t="n">
        <f aca="false">-LOG(J55*0.000001)</f>
        <v>3.8847224086041</v>
      </c>
      <c r="N55" s="0" t="n">
        <f aca="false">-LOG(K55*0.000001)</f>
        <v>3.65698550284923</v>
      </c>
      <c r="O55" s="0" t="n">
        <f aca="false">-LOG(L55*0.000001)</f>
        <v>3.48999148705977</v>
      </c>
    </row>
    <row r="56" customFormat="false" ht="12.8" hidden="false" customHeight="false" outlineLevel="0" collapsed="false">
      <c r="L56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2026-06-07T22:39:38Z</dcterms:modified>
  <cp:revision>5</cp:revision>
  <dc:subject/>
  <dc:title/>
</cp:coreProperties>
</file>